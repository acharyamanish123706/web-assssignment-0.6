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<sst xmlns="http://schemas.openxmlformats.org/spreadsheetml/2006/main" count="93" uniqueCount="53">
  <si>
    <t>PassengerId</t>
  </si>
  <si>
    <t>Total Passengers</t>
  </si>
  <si>
    <t>Survived</t>
  </si>
  <si>
    <t>Pclass</t>
  </si>
  <si>
    <t>Name</t>
  </si>
  <si>
    <t>Title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</si>
  <si>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</si>
  <si>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</si>
  <si>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</si>
  <si>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</si>
  <si>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</si>
  <si>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</si>
  <si>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</si>
  <si>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</si>
  <si>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Average Age</t>
  </si>
  <si>
    <t>Median Age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</si>
  <si>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</si>
  <si>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</si>
  <si>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</si>
  <si>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</si>
  <si>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</si>
  <si>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</si>
  <si>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</si>
  <si>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</si>
  <si>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</si>
  <si>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</si>
  <si>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</si>
  <si>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</si>
  <si>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</si>
  <si>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</si>
  <si>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</si>
  <si>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</si>
  <si>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</si>
  <si>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</si>
  <si>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</si>
  <si>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</si>
  <si>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</si>
  <si>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</si>
  <si>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</si>
  <si>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</si>
  <si>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</si>
  <si>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</si>
  <si>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</si>
  <si>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</si>
  <si>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</si>
  <si>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</si>
  <si>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</si>
  <si>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</si>
  <si>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</si>
  <si>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</si>
  <si>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</si>
  <si>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Average Survived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</si>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</sst>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FFFFF"/>
        <bgColor rgb="FFFFFFFF"/>
      </patternFill>
    </fill>
    <fill>
      <patternFill patternType="solid">
        <fgColor rgb="FFF9F9FF"/>
        <bgColor rgb="FFF9F9FF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4" fontId="2" numFmtId="0" xfId="0" applyBorder="1" applyFill="1" applyFont="1"/>
    <xf borderId="0" fillId="0" fontId="3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F9F9FF"/>
          <bgColor rgb="FFF9F9FF"/>
        </patternFill>
      </fill>
      <border/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1" sheet="Sheet1"/>
  </cacheSource>
  <cacheFields>
    <cacheField name="Passenger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</sharedItems>
    </cacheField>
    <cacheField name="Survived" numFmtId="0">
      <sharedItems containsSemiMixedTypes="0" containsString="0" containsNumber="1" containsInteger="1">
        <n v="0.0"/>
        <n v="1.0"/>
      </sharedItems>
    </cacheField>
    <cacheField name="Pclass" numFmtId="0">
      <sharedItems containsSemiMixedTypes="0" containsString="0" containsNumber="1" containsInteger="1">
        <n v="3.0"/>
        <n v="1.0"/>
        <n v="2.0"/>
      </sharedItems>
    </cacheField>
    <cacheField name="Name" numFmtId="0">
      <sharedItems>
        <s v="Braund, Mr. Owen Harris"/>
        <s v="Cumings, Mrs. John Bradley (Florence Briggs Thayer)"/>
        <s v="Heikkinen, Miss. Laina"/>
        <s v="Futrelle, Mrs. Jacques Heath (Lily May Peel)"/>
        <s v="Allen, Mr. William Henry"/>
        <s v="Moran, Mr. James"/>
        <s v="McCarthy, Mr. Timothy J"/>
        <s v="Palsson, Master. Gosta Leonard"/>
        <s v="Johnson, Mrs. Oscar W (Elisabeth Vilhelmina Berg)"/>
        <s v="Nasser, Mrs. Nicholas (Adele Achem)"/>
        <s v="Sandstrom, Miss. Marguerite Rut"/>
        <s v="Bonnell, Miss. Elizabeth"/>
        <s v="Saundercock, Mr. William Henry"/>
        <s v="Andersson, Mr. Anders Johan"/>
        <s v="Vestrom, Miss. Hulda Amanda Adolfina"/>
        <s v="Hewlett, Mrs. (Mary D Kingcome)"/>
        <s v="Rice, Master. Eugene"/>
        <s v="Williams, Mr. Charles Eugene"/>
        <s v="Vander Planke, Mrs. Julius (Emelia Maria Vandemoortele)"/>
        <s v="Masselmani, Mrs. Fatima"/>
      </sharedItems>
    </cacheField>
    <cacheField name="Title" numFmtId="0">
      <sharedItems>
        <s v="Mr"/>
        <s v="Mrs"/>
        <s v="Miss"/>
        <s v="Master"/>
      </sharedItems>
    </cacheField>
    <cacheField name="Sex" numFmtId="0">
      <sharedItems>
        <s v="male"/>
        <s v="female"/>
      </sharedItems>
    </cacheField>
    <cacheField name="Age" numFmtId="0">
      <sharedItems containsString="0" containsBlank="1" containsNumber="1" containsInteger="1">
        <n v="22.0"/>
        <n v="38.0"/>
        <n v="26.0"/>
        <n v="35.0"/>
        <m/>
        <n v="54.0"/>
        <n v="2.0"/>
        <n v="27.0"/>
        <n v="14.0"/>
        <n v="4.0"/>
        <n v="58.0"/>
        <n v="20.0"/>
        <n v="39.0"/>
        <n v="55.0"/>
        <n v="31.0"/>
      </sharedItems>
    </cacheField>
    <cacheField name="SibSp" numFmtId="0">
      <sharedItems containsSemiMixedTypes="0" containsString="0" containsNumber="1" containsInteger="1">
        <n v="1.0"/>
        <n v="0.0"/>
        <n v="3.0"/>
        <n v="4.0"/>
      </sharedItems>
    </cacheField>
    <cacheField name="Parch" numFmtId="0">
      <sharedItems containsSemiMixedTypes="0" containsString="0" containsNumber="1" containsInteger="1">
        <n v="0.0"/>
        <n v="1.0"/>
        <n v="2.0"/>
        <n v="5.0"/>
      </sharedItems>
    </cacheField>
    <cacheField name="Ticket">
      <sharedItems containsMixedTypes="1" containsNumber="1" containsInteger="1">
        <s v="A/5 21171"/>
        <s v="PC 17599"/>
        <s v="STON/O2. 3101282"/>
        <n v="113803.0"/>
        <n v="373450.0"/>
        <n v="330877.0"/>
        <n v="17463.0"/>
        <n v="349909.0"/>
        <n v="347742.0"/>
        <n v="237736.0"/>
        <s v="PP 9549"/>
        <n v="113783.0"/>
        <s v="A/5. 2151"/>
        <n v="347082.0"/>
        <n v="350406.0"/>
        <n v="248706.0"/>
        <n v="382652.0"/>
        <n v="244373.0"/>
        <n v="345763.0"/>
        <n v="2649.0"/>
      </sharedItems>
    </cacheField>
    <cacheField name="Fare" numFmtId="0">
      <sharedItems containsSemiMixedTypes="0" containsString="0" containsNumber="1">
        <n v="7.25"/>
        <n v="71.2833"/>
        <n v="7.925"/>
        <n v="53.1"/>
        <n v="8.05"/>
        <n v="8.4583"/>
        <n v="51.8625"/>
        <n v="21.075"/>
        <n v="11.1333"/>
        <n v="30.0708"/>
        <n v="16.7"/>
        <n v="26.55"/>
        <n v="31.275"/>
        <n v="7.8542"/>
        <n v="16.0"/>
        <n v="29.125"/>
        <n v="13.0"/>
        <n v="18.0"/>
        <n v="7.225"/>
      </sharedItems>
    </cacheField>
    <cacheField name="Cabin" numFmtId="0">
      <sharedItems containsBlank="1">
        <m/>
        <s v="C85"/>
        <s v="C123"/>
        <s v="E46"/>
        <s v="G6"/>
        <s v="C103"/>
      </sharedItems>
    </cacheField>
    <cacheField name="Embarked" numFmtId="0">
      <sharedItems>
        <s v="S"/>
        <s v="C"/>
        <s v="Q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B6:F10" firstHeaderRow="0" firstDataRow="1" firstDataCol="1"/>
  <pivotFields>
    <pivotField name="Passen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urvived" dataField="1" compact="0" outline="0" multipleItemSelectionAllowed="1" showAll="0">
      <items>
        <item x="0"/>
        <item x="1"/>
        <item t="default"/>
      </items>
    </pivotField>
    <pivotField name="Pclass" axis="axisCol" compact="0" outline="0" multipleItemSelectionAllowed="1" showAll="0" sortType="ascending">
      <items>
        <item x="1"/>
        <item x="2"/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t="default"/>
      </items>
    </pivotField>
    <pivotField name="Sex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ibSp" compact="0" outline="0" multipleItemSelectionAllowed="1" showAll="0">
      <items>
        <item x="0"/>
        <item x="1"/>
        <item x="2"/>
        <item x="3"/>
        <item t="default"/>
      </items>
    </pivotField>
    <pivotField name="Parch" compact="0" outline="0" multipleItemSelectionAllowed="1" showAll="0">
      <items>
        <item x="0"/>
        <item x="1"/>
        <item x="2"/>
        <item x="3"/>
        <item t="default"/>
      </items>
    </pivotField>
    <pivotField name="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F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abi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barked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2"/>
  </colFields>
  <dataFields>
    <dataField name="Average Survived" fld="1" subtotal="average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3">
        <v>1.0</v>
      </c>
      <c r="B2" s="3">
        <v>0.0</v>
      </c>
      <c r="C2" s="3">
        <v>3.0</v>
      </c>
      <c r="D2" s="3" t="s">
        <v>16</v>
      </c>
      <c r="E2" s="3" t="str">
        <f>IFERROR(__xludf.DUMMYFUNCTION("IFERROR(REGEXEXTRACT(D2, "",\s*([A-Za-z]+)\.""), """")"),"Mr")</f>
        <v>Mr</v>
      </c>
      <c r="F2" s="3" t="s">
        <v>17</v>
      </c>
      <c r="G2" s="3">
        <v>22.0</v>
      </c>
      <c r="H2" s="3">
        <v>1.0</v>
      </c>
      <c r="I2" s="3">
        <v>0.0</v>
      </c>
      <c r="J2" s="3" t="s">
        <v>18</v>
      </c>
      <c r="K2" s="3">
        <v>7.25</v>
      </c>
      <c r="L2" s="4"/>
      <c r="M2" s="3" t="s">
        <v>19</v>
      </c>
    </row>
    <row r="3">
      <c r="A3" s="3">
        <v>2.0</v>
      </c>
      <c r="B3" s="3">
        <v>1.0</v>
      </c>
      <c r="C3" s="3">
        <v>1.0</v>
      </c>
      <c r="D3" s="3" t="s">
        <v>20</v>
      </c>
      <c r="E3" s="3" t="str">
        <f>IFERROR(__xludf.DUMMYFUNCTION("IFERROR(REGEXEXTRACT(D3, "",\s*([A-Za-z]+)\.""), """")"),"Mrs")</f>
        <v>Mrs</v>
      </c>
      <c r="F3" s="3" t="s">
        <v>21</v>
      </c>
      <c r="G3" s="3">
        <v>38.0</v>
      </c>
      <c r="H3" s="3">
        <v>1.0</v>
      </c>
      <c r="I3" s="3">
        <v>0.0</v>
      </c>
      <c r="J3" s="3" t="s">
        <v>22</v>
      </c>
      <c r="K3" s="3">
        <v>71.2833</v>
      </c>
      <c r="L3" s="3" t="s">
        <v>23</v>
      </c>
      <c r="M3" s="3" t="s">
        <v>24</v>
      </c>
    </row>
    <row r="4">
      <c r="A4" s="3">
        <v>3.0</v>
      </c>
      <c r="B4" s="3">
        <v>1.0</v>
      </c>
      <c r="C4" s="3">
        <v>3.0</v>
      </c>
      <c r="D4" s="3" t="s">
        <v>25</v>
      </c>
      <c r="E4" s="3" t="str">
        <f>IFERROR(__xludf.DUMMYFUNCTION("IFERROR(REGEXEXTRACT(D4, "",\s*([A-Za-z]+)\.""), """")"),"Miss")</f>
        <v>Miss</v>
      </c>
      <c r="F4" s="3" t="s">
        <v>21</v>
      </c>
      <c r="G4" s="3">
        <v>26.0</v>
      </c>
      <c r="H4" s="3">
        <v>0.0</v>
      </c>
      <c r="I4" s="3">
        <v>0.0</v>
      </c>
      <c r="J4" s="3" t="s">
        <v>26</v>
      </c>
      <c r="K4" s="3">
        <v>7.925</v>
      </c>
      <c r="L4" s="4"/>
      <c r="M4" s="3" t="s">
        <v>19</v>
      </c>
    </row>
    <row r="5">
      <c r="A5" s="3">
        <v>4.0</v>
      </c>
      <c r="B5" s="3">
        <v>1.0</v>
      </c>
      <c r="C5" s="3">
        <v>1.0</v>
      </c>
      <c r="D5" s="3" t="s">
        <v>27</v>
      </c>
      <c r="E5" s="3" t="str">
        <f>IFERROR(__xludf.DUMMYFUNCTION("IFERROR(REGEXEXTRACT(D5, "",\s*([A-Za-z]+)\.""), """")"),"Mrs")</f>
        <v>Mrs</v>
      </c>
      <c r="F5" s="3" t="s">
        <v>21</v>
      </c>
      <c r="G5" s="3">
        <v>35.0</v>
      </c>
      <c r="H5" s="3">
        <v>1.0</v>
      </c>
      <c r="I5" s="3">
        <v>0.0</v>
      </c>
      <c r="J5" s="3">
        <v>113803.0</v>
      </c>
      <c r="K5" s="3">
        <v>53.1</v>
      </c>
      <c r="L5" s="3" t="s">
        <v>28</v>
      </c>
      <c r="M5" s="3" t="s">
        <v>19</v>
      </c>
    </row>
    <row r="6">
      <c r="A6" s="3">
        <v>5.0</v>
      </c>
      <c r="B6" s="3">
        <v>0.0</v>
      </c>
      <c r="C6" s="3">
        <v>3.0</v>
      </c>
      <c r="D6" s="3" t="s">
        <v>29</v>
      </c>
      <c r="E6" s="3" t="str">
        <f>IFERROR(__xludf.DUMMYFUNCTION("IFERROR(REGEXEXTRACT(D6, "",\s*([A-Za-z]+)\.""), """")"),"Mr")</f>
        <v>Mr</v>
      </c>
      <c r="F6" s="3" t="s">
        <v>17</v>
      </c>
      <c r="G6" s="3">
        <v>35.0</v>
      </c>
      <c r="H6" s="3">
        <v>0.0</v>
      </c>
      <c r="I6" s="3">
        <v>0.0</v>
      </c>
      <c r="J6" s="3">
        <v>373450.0</v>
      </c>
      <c r="K6" s="3">
        <v>8.05</v>
      </c>
      <c r="L6" s="4"/>
      <c r="M6" s="3" t="s">
        <v>19</v>
      </c>
    </row>
    <row r="7">
      <c r="A7" s="3">
        <v>6.0</v>
      </c>
      <c r="B7" s="3">
        <v>0.0</v>
      </c>
      <c r="C7" s="3">
        <v>3.0</v>
      </c>
      <c r="D7" s="3" t="s">
        <v>30</v>
      </c>
      <c r="E7" s="3" t="str">
        <f>IFERROR(__xludf.DUMMYFUNCTION("IFERROR(REGEXEXTRACT(D7, "",\s*([A-Za-z]+)\.""), """")"),"Mr")</f>
        <v>Mr</v>
      </c>
      <c r="F7" s="3" t="s">
        <v>17</v>
      </c>
      <c r="G7" s="4"/>
      <c r="H7" s="3">
        <v>0.0</v>
      </c>
      <c r="I7" s="3">
        <v>0.0</v>
      </c>
      <c r="J7" s="3">
        <v>330877.0</v>
      </c>
      <c r="K7" s="3">
        <v>8.4583</v>
      </c>
      <c r="L7" s="4"/>
      <c r="M7" s="3" t="s">
        <v>31</v>
      </c>
    </row>
    <row r="8">
      <c r="A8" s="3">
        <v>7.0</v>
      </c>
      <c r="B8" s="3">
        <v>0.0</v>
      </c>
      <c r="C8" s="3">
        <v>1.0</v>
      </c>
      <c r="D8" s="3" t="s">
        <v>32</v>
      </c>
      <c r="E8" s="3" t="str">
        <f>IFERROR(__xludf.DUMMYFUNCTION("IFERROR(REGEXEXTRACT(D8, "",\s*([A-Za-z]+)\.""), """")"),"Mr")</f>
        <v>Mr</v>
      </c>
      <c r="F8" s="3" t="s">
        <v>17</v>
      </c>
      <c r="G8" s="3">
        <v>54.0</v>
      </c>
      <c r="H8" s="3">
        <v>0.0</v>
      </c>
      <c r="I8" s="3">
        <v>0.0</v>
      </c>
      <c r="J8" s="3">
        <v>17463.0</v>
      </c>
      <c r="K8" s="3">
        <v>51.8625</v>
      </c>
      <c r="L8" s="3" t="s">
        <v>33</v>
      </c>
      <c r="M8" s="3" t="s">
        <v>19</v>
      </c>
    </row>
    <row r="9">
      <c r="A9" s="3">
        <v>8.0</v>
      </c>
      <c r="B9" s="3">
        <v>0.0</v>
      </c>
      <c r="C9" s="3">
        <v>3.0</v>
      </c>
      <c r="D9" s="3" t="s">
        <v>34</v>
      </c>
      <c r="E9" s="3" t="str">
        <f>IFERROR(__xludf.DUMMYFUNCTION("IFERROR(REGEXEXTRACT(D9, "",\s*([A-Za-z]+)\.""), """")"),"Master")</f>
        <v>Master</v>
      </c>
      <c r="F9" s="3" t="s">
        <v>17</v>
      </c>
      <c r="G9" s="3">
        <v>2.0</v>
      </c>
      <c r="H9" s="3">
        <v>3.0</v>
      </c>
      <c r="I9" s="3">
        <v>1.0</v>
      </c>
      <c r="J9" s="3">
        <v>349909.0</v>
      </c>
      <c r="K9" s="3">
        <v>21.075</v>
      </c>
      <c r="L9" s="4"/>
      <c r="M9" s="3" t="s">
        <v>19</v>
      </c>
    </row>
    <row r="10">
      <c r="A10" s="3">
        <v>9.0</v>
      </c>
      <c r="B10" s="3">
        <v>1.0</v>
      </c>
      <c r="C10" s="3">
        <v>3.0</v>
      </c>
      <c r="D10" s="3" t="s">
        <v>35</v>
      </c>
      <c r="E10" s="3" t="str">
        <f>IFERROR(__xludf.DUMMYFUNCTION("IFERROR(REGEXEXTRACT(D10, "",\s*([A-Za-z]+)\.""), """")"),"Mrs")</f>
        <v>Mrs</v>
      </c>
      <c r="F10" s="3" t="s">
        <v>21</v>
      </c>
      <c r="G10" s="3">
        <v>27.0</v>
      </c>
      <c r="H10" s="3">
        <v>0.0</v>
      </c>
      <c r="I10" s="3">
        <v>2.0</v>
      </c>
      <c r="J10" s="3">
        <v>347742.0</v>
      </c>
      <c r="K10" s="3">
        <v>11.1333</v>
      </c>
      <c r="L10" s="4"/>
      <c r="M10" s="3" t="s">
        <v>19</v>
      </c>
    </row>
    <row r="11">
      <c r="A11" s="3">
        <v>10.0</v>
      </c>
      <c r="B11" s="3">
        <v>1.0</v>
      </c>
      <c r="C11" s="3">
        <v>2.0</v>
      </c>
      <c r="D11" s="3" t="s">
        <v>36</v>
      </c>
      <c r="E11" s="3" t="str">
        <f>IFERROR(__xludf.DUMMYFUNCTION("IFERROR(REGEXEXTRACT(D11, "",\s*([A-Za-z]+)\.""), """")"),"Mrs")</f>
        <v>Mrs</v>
      </c>
      <c r="F11" s="3" t="s">
        <v>21</v>
      </c>
      <c r="G11" s="3">
        <v>14.0</v>
      </c>
      <c r="H11" s="3">
        <v>1.0</v>
      </c>
      <c r="I11" s="3">
        <v>0.0</v>
      </c>
      <c r="J11" s="3">
        <v>237736.0</v>
      </c>
      <c r="K11" s="3">
        <v>30.0708</v>
      </c>
      <c r="L11" s="4"/>
      <c r="M11" s="3" t="s">
        <v>24</v>
      </c>
    </row>
    <row r="12">
      <c r="A12" s="3">
        <v>11.0</v>
      </c>
      <c r="B12" s="3">
        <v>1.0</v>
      </c>
      <c r="C12" s="3">
        <v>3.0</v>
      </c>
      <c r="D12" s="3" t="s">
        <v>37</v>
      </c>
      <c r="E12" s="3" t="str">
        <f>IFERROR(__xludf.DUMMYFUNCTION("IFERROR(REGEXEXTRACT(D12, "",\s*([A-Za-z]+)\.""), """")"),"Miss")</f>
        <v>Miss</v>
      </c>
      <c r="F12" s="3" t="s">
        <v>21</v>
      </c>
      <c r="G12" s="3">
        <v>4.0</v>
      </c>
      <c r="H12" s="3">
        <v>1.0</v>
      </c>
      <c r="I12" s="3">
        <v>1.0</v>
      </c>
      <c r="J12" s="3" t="s">
        <v>38</v>
      </c>
      <c r="K12" s="3">
        <v>16.7</v>
      </c>
      <c r="L12" s="3" t="s">
        <v>39</v>
      </c>
      <c r="M12" s="3" t="s">
        <v>19</v>
      </c>
    </row>
    <row r="13">
      <c r="A13" s="3">
        <v>12.0</v>
      </c>
      <c r="B13" s="3">
        <v>1.0</v>
      </c>
      <c r="C13" s="3">
        <v>1.0</v>
      </c>
      <c r="D13" s="3" t="s">
        <v>40</v>
      </c>
      <c r="E13" s="3" t="str">
        <f>IFERROR(__xludf.DUMMYFUNCTION("IFERROR(REGEXEXTRACT(D13, "",\s*([A-Za-z]+)\.""), """")"),"Miss")</f>
        <v>Miss</v>
      </c>
      <c r="F13" s="3" t="s">
        <v>21</v>
      </c>
      <c r="G13" s="3">
        <v>58.0</v>
      </c>
      <c r="H13" s="3">
        <v>0.0</v>
      </c>
      <c r="I13" s="3">
        <v>0.0</v>
      </c>
      <c r="J13" s="3">
        <v>113783.0</v>
      </c>
      <c r="K13" s="3">
        <v>26.55</v>
      </c>
      <c r="L13" s="3" t="s">
        <v>41</v>
      </c>
      <c r="M13" s="3" t="s">
        <v>19</v>
      </c>
    </row>
    <row r="14">
      <c r="A14" s="3">
        <v>13.0</v>
      </c>
      <c r="B14" s="3">
        <v>0.0</v>
      </c>
      <c r="C14" s="3">
        <v>3.0</v>
      </c>
      <c r="D14" s="3" t="s">
        <v>42</v>
      </c>
      <c r="E14" s="3" t="str">
        <f>IFERROR(__xludf.DUMMYFUNCTION("IFERROR(REGEXEXTRACT(D14, "",\s*([A-Za-z]+)\.""), """")"),"Mr")</f>
        <v>Mr</v>
      </c>
      <c r="F14" s="3" t="s">
        <v>17</v>
      </c>
      <c r="G14" s="3">
        <v>20.0</v>
      </c>
      <c r="H14" s="3">
        <v>0.0</v>
      </c>
      <c r="I14" s="3">
        <v>0.0</v>
      </c>
      <c r="J14" s="3" t="s">
        <v>43</v>
      </c>
      <c r="K14" s="3">
        <v>8.05</v>
      </c>
      <c r="L14" s="4"/>
      <c r="M14" s="3" t="s">
        <v>19</v>
      </c>
    </row>
    <row r="15">
      <c r="A15" s="3">
        <v>14.0</v>
      </c>
      <c r="B15" s="3">
        <v>0.0</v>
      </c>
      <c r="C15" s="3">
        <v>3.0</v>
      </c>
      <c r="D15" s="3" t="s">
        <v>44</v>
      </c>
      <c r="E15" s="3" t="str">
        <f>IFERROR(__xludf.DUMMYFUNCTION("IFERROR(REGEXEXTRACT(D15, "",\s*([A-Za-z]+)\.""), """")"),"Mr")</f>
        <v>Mr</v>
      </c>
      <c r="F15" s="3" t="s">
        <v>17</v>
      </c>
      <c r="G15" s="3">
        <v>39.0</v>
      </c>
      <c r="H15" s="3">
        <v>1.0</v>
      </c>
      <c r="I15" s="3">
        <v>5.0</v>
      </c>
      <c r="J15" s="3">
        <v>347082.0</v>
      </c>
      <c r="K15" s="3">
        <v>31.275</v>
      </c>
      <c r="L15" s="4"/>
      <c r="M15" s="3" t="s">
        <v>19</v>
      </c>
    </row>
    <row r="16">
      <c r="A16" s="3">
        <v>15.0</v>
      </c>
      <c r="B16" s="3">
        <v>0.0</v>
      </c>
      <c r="C16" s="3">
        <v>3.0</v>
      </c>
      <c r="D16" s="3" t="s">
        <v>45</v>
      </c>
      <c r="E16" s="3" t="str">
        <f>IFERROR(__xludf.DUMMYFUNCTION("IFERROR(REGEXEXTRACT(D16, "",\s*([A-Za-z]+)\.""), """")"),"Miss")</f>
        <v>Miss</v>
      </c>
      <c r="F16" s="3" t="s">
        <v>21</v>
      </c>
      <c r="G16" s="3">
        <v>14.0</v>
      </c>
      <c r="H16" s="3">
        <v>0.0</v>
      </c>
      <c r="I16" s="3">
        <v>0.0</v>
      </c>
      <c r="J16" s="3">
        <v>350406.0</v>
      </c>
      <c r="K16" s="3">
        <v>7.8542</v>
      </c>
      <c r="L16" s="4"/>
      <c r="M16" s="3" t="s">
        <v>19</v>
      </c>
    </row>
    <row r="17">
      <c r="A17" s="3">
        <v>16.0</v>
      </c>
      <c r="B17" s="3">
        <v>1.0</v>
      </c>
      <c r="C17" s="3">
        <v>2.0</v>
      </c>
      <c r="D17" s="3" t="s">
        <v>46</v>
      </c>
      <c r="E17" s="3" t="str">
        <f>IFERROR(__xludf.DUMMYFUNCTION("IFERROR(REGEXEXTRACT(D17, "",\s*([A-Za-z]+)\.""), """")"),"Mrs")</f>
        <v>Mrs</v>
      </c>
      <c r="F17" s="3" t="s">
        <v>21</v>
      </c>
      <c r="G17" s="3">
        <v>55.0</v>
      </c>
      <c r="H17" s="3">
        <v>0.0</v>
      </c>
      <c r="I17" s="3">
        <v>0.0</v>
      </c>
      <c r="J17" s="3">
        <v>248706.0</v>
      </c>
      <c r="K17" s="3">
        <v>16.0</v>
      </c>
      <c r="L17" s="4"/>
      <c r="M17" s="3" t="s">
        <v>19</v>
      </c>
    </row>
    <row r="18">
      <c r="A18" s="3">
        <v>17.0</v>
      </c>
      <c r="B18" s="3">
        <v>0.0</v>
      </c>
      <c r="C18" s="3">
        <v>3.0</v>
      </c>
      <c r="D18" s="3" t="s">
        <v>47</v>
      </c>
      <c r="E18" s="3" t="str">
        <f>IFERROR(__xludf.DUMMYFUNCTION("IFERROR(REGEXEXTRACT(D18, "",\s*([A-Za-z]+)\.""), """")"),"Master")</f>
        <v>Master</v>
      </c>
      <c r="F18" s="3" t="s">
        <v>17</v>
      </c>
      <c r="G18" s="3">
        <v>2.0</v>
      </c>
      <c r="H18" s="3">
        <v>4.0</v>
      </c>
      <c r="I18" s="3">
        <v>1.0</v>
      </c>
      <c r="J18" s="3">
        <v>382652.0</v>
      </c>
      <c r="K18" s="3">
        <v>29.125</v>
      </c>
      <c r="L18" s="4"/>
      <c r="M18" s="3" t="s">
        <v>31</v>
      </c>
    </row>
    <row r="19">
      <c r="A19" s="3">
        <v>18.0</v>
      </c>
      <c r="B19" s="3">
        <v>1.0</v>
      </c>
      <c r="C19" s="3">
        <v>2.0</v>
      </c>
      <c r="D19" s="3" t="s">
        <v>48</v>
      </c>
      <c r="E19" s="3" t="str">
        <f>IFERROR(__xludf.DUMMYFUNCTION("IFERROR(REGEXEXTRACT(D19, "",\s*([A-Za-z]+)\.""), """")"),"Mr")</f>
        <v>Mr</v>
      </c>
      <c r="F19" s="3" t="s">
        <v>17</v>
      </c>
      <c r="G19" s="4"/>
      <c r="H19" s="3">
        <v>0.0</v>
      </c>
      <c r="I19" s="3">
        <v>0.0</v>
      </c>
      <c r="J19" s="3">
        <v>244373.0</v>
      </c>
      <c r="K19" s="3">
        <v>13.0</v>
      </c>
      <c r="L19" s="4"/>
      <c r="M19" s="3" t="s">
        <v>19</v>
      </c>
    </row>
    <row r="20">
      <c r="A20" s="3">
        <v>19.0</v>
      </c>
      <c r="B20" s="3">
        <v>0.0</v>
      </c>
      <c r="C20" s="3">
        <v>3.0</v>
      </c>
      <c r="D20" s="3" t="s">
        <v>49</v>
      </c>
      <c r="E20" s="3" t="str">
        <f>IFERROR(__xludf.DUMMYFUNCTION("IFERROR(REGEXEXTRACT(D20, "",\s*([A-Za-z]+)\.""), """")"),"Mrs")</f>
        <v>Mrs</v>
      </c>
      <c r="F20" s="3" t="s">
        <v>21</v>
      </c>
      <c r="G20" s="3">
        <v>31.0</v>
      </c>
      <c r="H20" s="3">
        <v>1.0</v>
      </c>
      <c r="I20" s="3">
        <v>0.0</v>
      </c>
      <c r="J20" s="3">
        <v>345763.0</v>
      </c>
      <c r="K20" s="3">
        <v>18.0</v>
      </c>
      <c r="L20" s="4"/>
      <c r="M20" s="3" t="s">
        <v>19</v>
      </c>
    </row>
    <row r="21">
      <c r="A21" s="3">
        <v>20.0</v>
      </c>
      <c r="B21" s="3">
        <v>1.0</v>
      </c>
      <c r="C21" s="3">
        <v>3.0</v>
      </c>
      <c r="D21" s="3" t="s">
        <v>50</v>
      </c>
      <c r="E21" s="3" t="str">
        <f>IFERROR(__xludf.DUMMYFUNCTION("IFERROR(REGEXEXTRACT(D21, "",\s*([A-Za-z]+)\.""), """")"),"Mrs")</f>
        <v>Mrs</v>
      </c>
      <c r="F21" s="3" t="s">
        <v>21</v>
      </c>
      <c r="G21" s="4"/>
      <c r="H21" s="3">
        <v>0.0</v>
      </c>
      <c r="I21" s="3">
        <v>0.0</v>
      </c>
      <c r="J21" s="3">
        <v>2649.0</v>
      </c>
      <c r="K21" s="3">
        <v>7.225</v>
      </c>
      <c r="L21" s="4"/>
      <c r="M21" s="3" t="s">
        <v>24</v>
      </c>
    </row>
  </sheetData>
  <conditionalFormatting sqref="A2:M21">
    <cfRule type="expression" dxfId="6" priority="1" stopIfTrue="1">
      <formula>ISEVEN(ROW())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1</v>
      </c>
      <c r="C2" s="2" t="s">
        <v>14</v>
      </c>
      <c r="D2" s="2" t="s">
        <v>15</v>
      </c>
    </row>
    <row r="3">
      <c r="B3" s="5">
        <f>COUNTA(Sheet1!A2:A21)</f>
        <v>20</v>
      </c>
      <c r="C3" s="5">
        <f>AVERAGE(Sheet1!G2:G21)</f>
        <v>28</v>
      </c>
      <c r="D3" s="5">
        <f>MEDIAN(Sheet1!G2:G21)</f>
        <v>27</v>
      </c>
    </row>
    <row r="6"/>
    <row r="7"/>
    <row r="8"/>
    <row r="9"/>
    <row r="10"/>
  </sheetData>
  <drawing r:id="rId2"/>
</worksheet>
</file>